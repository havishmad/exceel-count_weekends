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12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madconsulting-my.sharepoint.com/personal/havish_hmadconsulting_onmicrosoft_com/Documents/Documents/GitHub/excel_count_weekends/"/>
    </mc:Choice>
  </mc:AlternateContent>
  <xr:revisionPtr revIDLastSave="2" documentId="13_ncr:1_{1E4B0610-E86B-4786-B8D6-6977B2F72BCB}" xr6:coauthVersionLast="47" xr6:coauthVersionMax="47" xr10:uidLastSave="{9CFFC137-C2AE-405C-BFA0-59F81A970CAA}"/>
  <bookViews>
    <workbookView xWindow="28680" yWindow="-120" windowWidth="29040" windowHeight="15840" activeTab="1" xr2:uid="{67EB926F-0859-44AC-8071-368FB1D83790}"/>
  </bookViews>
  <sheets>
    <sheet name="Profile" sheetId="2" r:id="rId1"/>
    <sheet name="Sheet1" sheetId="1" r:id="rId2"/>
  </sheets>
  <functionGroups builtInGroupCount="19"/>
  <externalReferences>
    <externalReference r:id="rId3"/>
  </externalReferences>
  <definedNames>
    <definedName name="_xlpm.col_first" hidden="1" xlm="1">#NAME?</definedName>
    <definedName name="_xlpm.col_second" hidden="1" xlm="1">#NAME?</definedName>
    <definedName name="_xlpm.end_date" hidden="1" xlm="1">#NAME?</definedName>
    <definedName name="_xlpm.first_calc" hidden="1" xlm="1">#NAME?</definedName>
    <definedName name="_xlpm.first_col" hidden="1" xlm="1">#NAME?</definedName>
    <definedName name="_xlpm.first_list" hidden="1" xlm="1">#NAME?</definedName>
    <definedName name="_xlpm.rangeA" hidden="1" xlm="1">#NAME?</definedName>
    <definedName name="_xlpm.rangeB" hidden="1" xlm="1">#NAME?</definedName>
    <definedName name="_xlpm.rangeC" hidden="1" xlm="1">#NAME?</definedName>
    <definedName name="_xlpm.rangeD" hidden="1" xlm="1">#NAME?</definedName>
    <definedName name="_xlpm.second_calc" hidden="1" xlm="1">#NAME?</definedName>
    <definedName name="_xlpm.second_col" hidden="1" xlm="1">#NAME?</definedName>
    <definedName name="_xlpm.second_list" hidden="1" xlm="1">#NAME?</definedName>
    <definedName name="_xlpm.start_date" hidden="1" xlm="1">#NAME?</definedName>
    <definedName name="Repeat_Customers">_xlfn.LAMBDA(_xlpm.first_col,_xlpm.second_col,_xlfn._xlws.SORT(_xlfn.UNIQUE(_xlfn._xlws.FILTER(_xlfn.XLOOKUP(_xlpm.first_col,_xlpm.second_col,_xlpm.second_col), NOT(ISERROR(_xlfn.XLOOKUP(_xlpm.first_col,_xlpm.second_col,_xlpm.second_col)))))))</definedName>
    <definedName name="Weekends">_xlfn.LAMBDA(_xlpm.start_date,_xlpm.end_date, (_xlpm.end_date-_xlpm.start_date+1)-(NETWORKDAYS(_xlpm.start_date,_xlpm.end_date)))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1" l="1"/>
  <c r="C7" i="1" l="1" a="1"/>
  <c r="C7" i="1" s="1"/>
  <c r="C6" i="1" a="1"/>
  <c r="D7" i="1"/>
  <c r="D6" i="1"/>
  <c r="D5" i="1"/>
  <c r="C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<sst xmlns="http://schemas.openxmlformats.org/spreadsheetml/2006/main" count="6" uniqueCount="6">
  <si>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weekends?</t>
  </si>
  <si>
    <t>Project End Date</t>
  </si>
  <si>
    <t>Project Start Date</t>
  </si>
  <si>
    <t>Formula</t>
  </si>
  <si>
    <t>VBA</t>
  </si>
  <si>
    <t>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</si>
</sst>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c/havishmadhvapaty" TargetMode="External"/><Relationship Id="rId2" Type="http://schemas.openxmlformats.org/officeDocument/2006/relationships/hyperlink" Target="https://www.havishmconsulting.com/mega-bundle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github.com/havishmad" TargetMode="External"/><Relationship Id="rId5" Type="http://schemas.openxmlformats.org/officeDocument/2006/relationships/hyperlink" Target="https://medium.com/@havish-madhvapaty" TargetMode="External"/><Relationship Id="rId4" Type="http://schemas.openxmlformats.org/officeDocument/2006/relationships/hyperlink" Target="https://www.havishmconsulting.com/sho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457200</xdr:colOff>
      <xdr:row>40</xdr:row>
      <xdr:rowOff>151485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E7398BA-B710-43F9-81FD-04C2451BF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543800" cy="7771485"/>
        </a:xfrm>
        <a:prstGeom prst="rect">
          <a:avLst/>
        </a:prstGeom>
      </xdr:spPr>
    </xdr:pic>
    <xdr:clientData/>
  </xdr:twoCellAnchor>
  <xdr:twoCellAnchor>
    <xdr:from>
      <xdr:col>13</xdr:col>
      <xdr:colOff>273981</xdr:colOff>
      <xdr:row>0</xdr:row>
      <xdr:rowOff>145144</xdr:rowOff>
    </xdr:from>
    <xdr:to>
      <xdr:col>24</xdr:col>
      <xdr:colOff>116744</xdr:colOff>
      <xdr:row>5</xdr:row>
      <xdr:rowOff>138001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F37747E-0A9B-4AB7-A9CF-CD195CB9354B}"/>
            </a:ext>
          </a:extLst>
        </xdr:cNvPr>
        <xdr:cNvSpPr/>
      </xdr:nvSpPr>
      <xdr:spPr>
        <a:xfrm>
          <a:off x="7951131" y="145144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See Course Details: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https://www.havishmconsulting.com/mega-bundle </a:t>
          </a:r>
        </a:p>
      </xdr:txBody>
    </xdr:sp>
    <xdr:clientData/>
  </xdr:twoCellAnchor>
  <xdr:twoCellAnchor>
    <xdr:from>
      <xdr:col>13</xdr:col>
      <xdr:colOff>273981</xdr:colOff>
      <xdr:row>7</xdr:row>
      <xdr:rowOff>102776</xdr:rowOff>
    </xdr:from>
    <xdr:to>
      <xdr:col>24</xdr:col>
      <xdr:colOff>116744</xdr:colOff>
      <xdr:row>12</xdr:row>
      <xdr:rowOff>95633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AB1D55-4682-420F-B02E-C9580C212387}"/>
            </a:ext>
          </a:extLst>
        </xdr:cNvPr>
        <xdr:cNvSpPr/>
      </xdr:nvSpPr>
      <xdr:spPr>
        <a:xfrm>
          <a:off x="7951131" y="1436276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YouTube: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https://www.youtube.com/c/havishmadhvapaty</a:t>
          </a:r>
        </a:p>
      </xdr:txBody>
    </xdr:sp>
    <xdr:clientData/>
  </xdr:twoCellAnchor>
  <xdr:twoCellAnchor>
    <xdr:from>
      <xdr:col>13</xdr:col>
      <xdr:colOff>273981</xdr:colOff>
      <xdr:row>14</xdr:row>
      <xdr:rowOff>60408</xdr:rowOff>
    </xdr:from>
    <xdr:to>
      <xdr:col>24</xdr:col>
      <xdr:colOff>116744</xdr:colOff>
      <xdr:row>19</xdr:row>
      <xdr:rowOff>53265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CE8AECF-F52E-446B-AD97-8B0707063D70}"/>
            </a:ext>
          </a:extLst>
        </xdr:cNvPr>
        <xdr:cNvSpPr/>
      </xdr:nvSpPr>
      <xdr:spPr>
        <a:xfrm>
          <a:off x="7951131" y="2727408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Buy from Shop: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https://www.havishmconsulting.com/shop</a:t>
          </a:r>
        </a:p>
      </xdr:txBody>
    </xdr:sp>
    <xdr:clientData/>
  </xdr:twoCellAnchor>
  <xdr:twoCellAnchor>
    <xdr:from>
      <xdr:col>13</xdr:col>
      <xdr:colOff>273981</xdr:colOff>
      <xdr:row>21</xdr:row>
      <xdr:rowOff>18040</xdr:rowOff>
    </xdr:from>
    <xdr:to>
      <xdr:col>24</xdr:col>
      <xdr:colOff>116744</xdr:colOff>
      <xdr:row>26</xdr:row>
      <xdr:rowOff>10897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BFFFEF8-09ED-47CA-A8BE-A5FEF3039ABF}"/>
            </a:ext>
          </a:extLst>
        </xdr:cNvPr>
        <xdr:cNvSpPr/>
      </xdr:nvSpPr>
      <xdr:spPr>
        <a:xfrm>
          <a:off x="7951131" y="4018540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Medium: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https://medium.com/@havish-madhvapaty</a:t>
          </a:r>
        </a:p>
      </xdr:txBody>
    </xdr:sp>
    <xdr:clientData/>
  </xdr:twoCellAnchor>
  <xdr:twoCellAnchor>
    <xdr:from>
      <xdr:col>13</xdr:col>
      <xdr:colOff>273981</xdr:colOff>
      <xdr:row>27</xdr:row>
      <xdr:rowOff>163050</xdr:rowOff>
    </xdr:from>
    <xdr:to>
      <xdr:col>24</xdr:col>
      <xdr:colOff>116744</xdr:colOff>
      <xdr:row>32</xdr:row>
      <xdr:rowOff>155906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CD9F546-C9B7-4FB0-BC96-2CAD16D4AB76}"/>
            </a:ext>
          </a:extLst>
        </xdr:cNvPr>
        <xdr:cNvSpPr/>
      </xdr:nvSpPr>
      <xdr:spPr>
        <a:xfrm>
          <a:off x="7951131" y="5306550"/>
          <a:ext cx="6338813" cy="945356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Github: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https://github.com/havishmad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vis/AppData/Roaming/Microsoft/AddIns/20OCT2021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LicenseKey"/>
      <sheetName val="Demo Sheet"/>
      <sheetName val="Demo Sheet - Functions"/>
      <sheetName val="20OCT2021"/>
    </sheetNames>
    <definedNames>
      <definedName name="HMC_DATE_WEEKENDS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D191F-AF41-43C2-9B80-4DD92538EBB6}">
  <dimension ref="A1:Y48"/>
  <sheetViews>
    <sheetView showGridLines="0" zoomScale="61" workbookViewId="0">
      <selection activeCell="U38" sqref="U38"/>
    </sheetView>
  </sheetViews>
  <sheetFormatPr defaultColWidth="0" defaultRowHeight="15" customHeight="1" zeroHeight="1" x14ac:dyDescent="0.3"/>
  <cols>
    <col min="1" max="25" width="8.88671875" customWidth="1"/>
    <col min="26" max="16384" width="8.88671875" hidden="1"/>
  </cols>
  <sheetData>
    <row r="1" customFormat="1" ht="14.4" x14ac:dyDescent="0.3"/>
    <row r="2" customFormat="1" ht="14.4" x14ac:dyDescent="0.3"/>
    <row r="3" customFormat="1" ht="14.4" x14ac:dyDescent="0.3"/>
    <row r="4" customFormat="1" ht="14.4" x14ac:dyDescent="0.3"/>
    <row r="5" customFormat="1" ht="14.4" x14ac:dyDescent="0.3"/>
    <row r="6" customFormat="1" ht="14.4" x14ac:dyDescent="0.3"/>
    <row r="7" customFormat="1" ht="14.4" x14ac:dyDescent="0.3"/>
    <row r="8" customFormat="1" ht="14.4" x14ac:dyDescent="0.3"/>
    <row r="9" customFormat="1" ht="14.4" x14ac:dyDescent="0.3"/>
    <row r="10" customFormat="1" ht="14.4" x14ac:dyDescent="0.3"/>
    <row r="11" customFormat="1" ht="14.4" x14ac:dyDescent="0.3"/>
    <row r="12" customFormat="1" ht="14.4" x14ac:dyDescent="0.3"/>
    <row r="13" customFormat="1" ht="14.4" x14ac:dyDescent="0.3"/>
    <row r="14" customFormat="1" ht="14.4" x14ac:dyDescent="0.3"/>
    <row r="15" customFormat="1" ht="14.4" x14ac:dyDescent="0.3"/>
    <row r="16" customFormat="1" ht="14.4" x14ac:dyDescent="0.3"/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x14ac:dyDescent="0.3"/>
    <row r="36" customFormat="1" ht="14.4" x14ac:dyDescent="0.3"/>
    <row r="37" customFormat="1" ht="14.4" x14ac:dyDescent="0.3"/>
    <row r="38" customFormat="1" ht="14.4" x14ac:dyDescent="0.3"/>
    <row r="39" customFormat="1" ht="14.4" x14ac:dyDescent="0.3"/>
    <row r="40" customFormat="1" ht="14.4" x14ac:dyDescent="0.3"/>
    <row r="41" customFormat="1" ht="14.4" x14ac:dyDescent="0.3"/>
    <row r="42" customFormat="1" ht="14.4" x14ac:dyDescent="0.3"/>
    <row r="43" customFormat="1" ht="14.4" hidden="1" x14ac:dyDescent="0.3"/>
    <row r="44" customFormat="1" ht="14.4" hidden="1" x14ac:dyDescent="0.3"/>
    <row r="45" customFormat="1" ht="14.4" hidden="1" x14ac:dyDescent="0.3"/>
    <row r="46" customFormat="1" ht="14.4" hidden="1" x14ac:dyDescent="0.3"/>
    <row r="47" customFormat="1" ht="14.4" hidden="1" x14ac:dyDescent="0.3"/>
    <row r="48" customFormat="1" ht="14.4" hidden="1" x14ac:dyDescent="0.3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7263-E313-4A5D-8BFE-2099335C8919}">
  <sheetPr codeName="Sheet1"/>
  <dimension ref="A1:F7"/>
  <sheetViews>
    <sheetView tabSelected="1" zoomScale="205" zoomScaleNormal="205" workbookViewId="0">
      <selection activeCell="A2" sqref="A2"/>
    </sheetView>
  </sheetViews>
  <sheetFormatPr defaultRowHeight="14.4" x14ac:dyDescent="0.3"/>
  <cols>
    <col min="2" max="2" width="17.5546875" customWidth="1"/>
    <col min="3" max="3" width="16.33203125" customWidth="1"/>
    <col min="4" max="4" width="42.5546875" customWidth="1"/>
    <col min="6" max="6" width="20" customWidth="1"/>
  </cols>
  <sheetData>
    <row r="1" spans="1:6" x14ac:dyDescent="0.3">
      <c r="A1" s="3"/>
    </row>
    <row r="2" spans="1:6" x14ac:dyDescent="0.3">
      <c r="B2" t="s">
        <v>2</v>
      </c>
      <c r="C2" s="1">
        <v>44197</v>
      </c>
    </row>
    <row r="3" spans="1:6" x14ac:dyDescent="0.3">
      <c r="B3" t="s">
        <v>1</v>
      </c>
      <c r="C3" s="1">
        <v>44553</v>
      </c>
    </row>
    <row r="5" spans="1:6" x14ac:dyDescent="0.3">
      <c r="B5" t="s">
        <v>0</v>
      </c>
      <c r="C5" s="2">
        <f>(C3-C2+1)-(NETWORKDAYS(C2,C3))</f>
        <v>102</v>
      </c>
      <c r="D5" t="str">
        <f ca="1">_xlfn.FORMULATEXT(C5)</f>
        <v>=(C3-C2+1)-(NETWORKDAYS(C2,C3))</v>
      </c>
      <c r="F5" t="s">
        <v>3</v>
      </c>
    </row>
    <row r="6" spans="1:6" x14ac:dyDescent="0.3">
      <c r="C6" s="2" cm="1">
        <f t="array" ref="C6">[1]!HMC_DATE_WEEKENDS(C2,C3)</f>
        <v>102</v>
      </c>
      <c r="D6" t="str">
        <f ca="1">_xlfn.FORMULATEXT(C6)</f>
        <v>='https://hmadconsulting-my.sharepoint.com/Users/havis/AppData/Roaming/Microsoft/AddIns/20OCT2021.xlam'!HMC_DATE_WEEKENDS(C2,C3)</v>
      </c>
      <c r="F6" t="s">
        <v>4</v>
      </c>
    </row>
    <row r="7" spans="1:6" x14ac:dyDescent="0.3">
      <c r="C7" s="2" cm="1">
        <f t="array" ref="C7">Weekends(C2,C3)</f>
        <v>102</v>
      </c>
      <c r="D7" t="str">
        <f ca="1">_xlfn.FORMULATEXT(C7)</f>
        <v>=Weekends(C2,C3)</v>
      </c>
      <c r="F7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Profile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2021-12-23T14:10:05Z</dcterms:created>
  <dcterms:modified xsi:type="dcterms:W3CDTF">2022-01-21T10:37:51Z</dcterms:modified>
</cp:coreProperties>
</file>